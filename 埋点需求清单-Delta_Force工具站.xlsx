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埋点需求总表" sheetId="1" state="visible" r:id="rId1"/>
    <sheet xmlns:r="http://schemas.openxmlformats.org/officeDocument/2006/relationships" name="通用参数说明" sheetId="2" state="visible" r:id="rId2"/>
    <sheet xmlns:r="http://schemas.openxmlformats.org/officeDocument/2006/relationships" name="事件分层说明" sheetId="3" state="visible" r:id="rId3"/>
    <sheet xmlns:r="http://schemas.openxmlformats.org/officeDocument/2006/relationships" name="页面结构总览" sheetId="4" state="visible" r:id="rId4"/>
    <sheet xmlns:r="http://schemas.openxmlformats.org/officeDocument/2006/relationships" name="统计汇总" sheetId="5" state="visible" r:id="rId5"/>
  </sheets>
  <definedNames>
    <definedName name="_xlnm._FilterDatabase" localSheetId="0" hidden="1">'埋点需求总表'!$A$1:$H$31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2F5496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2" customWidth="1" min="4" max="4"/>
    <col width="40" customWidth="1" min="5" max="5"/>
    <col width="50" customWidth="1" min="6" max="6"/>
    <col width="10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事件层级</t>
        </is>
      </c>
      <c r="D1" s="1" t="inlineStr">
        <is>
          <t>事件名</t>
        </is>
      </c>
      <c r="E1" s="1" t="inlineStr">
        <is>
          <t>触发时机</t>
        </is>
      </c>
      <c r="F1" s="1" t="inlineStr">
        <is>
          <t>事件参数</t>
        </is>
      </c>
      <c r="G1" s="1" t="inlineStr">
        <is>
          <t>适用端</t>
        </is>
      </c>
      <c r="H1" s="1" t="inlineStr">
        <is>
          <t>分析目的</t>
        </is>
      </c>
    </row>
    <row r="2">
      <c r="A2" s="2" t="inlineStr">
        <is>
          <t>A-01</t>
        </is>
      </c>
      <c r="B2" s="2" t="inlineStr">
        <is>
          <t>登录与账号</t>
        </is>
      </c>
      <c r="C2" s="2" t="inlineStr">
        <is>
          <t>L1-页面访问</t>
        </is>
      </c>
      <c r="D2" s="2" t="inlineStr">
        <is>
          <t>pv_login_modal</t>
        </is>
      </c>
      <c r="E2" s="2" t="inlineStr">
        <is>
          <t>登录弹窗打开（含方式选择）</t>
        </is>
      </c>
      <c r="F2" s="2" t="inlineStr">
        <is>
          <t>login_provider: level_infinite / garena</t>
        </is>
      </c>
      <c r="G2" s="2" t="inlineStr">
        <is>
          <t>Both</t>
        </is>
      </c>
      <c r="H2" s="2" t="inlineStr">
        <is>
          <t>登录流程入口PV，衡量登录意愿</t>
        </is>
      </c>
    </row>
    <row r="3">
      <c r="A3" s="3" t="inlineStr">
        <is>
          <t>A-02</t>
        </is>
      </c>
      <c r="B3" s="3" t="inlineStr">
        <is>
          <t>登录与账号</t>
        </is>
      </c>
      <c r="C3" s="3" t="inlineStr">
        <is>
          <t>L3-用户交互</t>
        </is>
      </c>
      <c r="D3" s="3" t="inlineStr">
        <is>
          <t>click_login_entry</t>
        </is>
      </c>
      <c r="E3" s="3" t="inlineStr">
        <is>
          <t>点击顶部导航登录按钮</t>
        </is>
      </c>
      <c r="F3" s="3" t="inlineStr">
        <is>
          <t>—</t>
        </is>
      </c>
      <c r="G3" s="3" t="inlineStr">
        <is>
          <t>Both</t>
        </is>
      </c>
      <c r="H3" s="3" t="inlineStr">
        <is>
          <t>登录入口触达率</t>
        </is>
      </c>
    </row>
    <row r="4">
      <c r="A4" s="2" t="inlineStr">
        <is>
          <t>A-03</t>
        </is>
      </c>
      <c r="B4" s="2" t="inlineStr">
        <is>
          <t>登录与账号</t>
        </is>
      </c>
      <c r="C4" s="2" t="inlineStr">
        <is>
          <t>L3-用户交互</t>
        </is>
      </c>
      <c r="D4" s="2" t="inlineStr">
        <is>
          <t>click_login_method_select</t>
        </is>
      </c>
      <c r="E4" s="2" t="inlineStr">
        <is>
          <t>选择登录方式（LI / Garena）</t>
        </is>
      </c>
      <c r="F4" s="2" t="inlineStr">
        <is>
          <t>method: level_infinite / garena</t>
        </is>
      </c>
      <c r="G4" s="2" t="inlineStr">
        <is>
          <t>Both</t>
        </is>
      </c>
      <c r="H4" s="2" t="inlineStr">
        <is>
          <t>登录平台偏好分布</t>
        </is>
      </c>
    </row>
    <row r="5">
      <c r="A5" s="3" t="inlineStr">
        <is>
          <t>A-04</t>
        </is>
      </c>
      <c r="B5" s="3" t="inlineStr">
        <is>
          <t>登录与账号</t>
        </is>
      </c>
      <c r="C5" s="3" t="inlineStr">
        <is>
          <t>L3-用户交互</t>
        </is>
      </c>
      <c r="D5" s="3" t="inlineStr">
        <is>
          <t>click_login_social</t>
        </is>
      </c>
      <c r="E5" s="3" t="inlineStr">
        <is>
          <t>点击第三方社交账号登录</t>
        </is>
      </c>
      <c r="F5" s="3" t="inlineStr">
        <is>
          <t>social_provider: facebook / google / twitter / line / discord</t>
        </is>
      </c>
      <c r="G5" s="3" t="inlineStr">
        <is>
          <t>Both</t>
        </is>
      </c>
      <c r="H5" s="3" t="inlineStr">
        <is>
          <t>各第三方登录渠道使用率</t>
        </is>
      </c>
    </row>
    <row r="6">
      <c r="A6" s="4" t="inlineStr">
        <is>
          <t>A-05</t>
        </is>
      </c>
      <c r="B6" s="4" t="inlineStr">
        <is>
          <t>登录与账号</t>
        </is>
      </c>
      <c r="C6" s="4" t="inlineStr">
        <is>
          <t>L4-业务结果</t>
        </is>
      </c>
      <c r="D6" s="4" t="inlineStr">
        <is>
          <t>result_login</t>
        </is>
      </c>
      <c r="E6" s="4" t="inlineStr">
        <is>
          <t>登录请求返回结果</t>
        </is>
      </c>
      <c r="F6" s="4" t="inlineStr">
        <is>
          <t>success: Boolean, login_provider, login_type: email/social, social_provider(可选), error_code(失败时)</t>
        </is>
      </c>
      <c r="G6" s="4" t="inlineStr">
        <is>
          <t>Both</t>
        </is>
      </c>
      <c r="H6" s="4" t="inlineStr">
        <is>
          <t>⭐ 核心指标：登录成功率、各渠道转化率</t>
        </is>
      </c>
    </row>
    <row r="7">
      <c r="A7" s="3" t="inlineStr">
        <is>
          <t>A-06</t>
        </is>
      </c>
      <c r="B7" s="3" t="inlineStr">
        <is>
          <t>登录与账号</t>
        </is>
      </c>
      <c r="C7" s="3" t="inlineStr">
        <is>
          <t>L4-业务结果</t>
        </is>
      </c>
      <c r="D7" s="3" t="inlineStr">
        <is>
          <t>result_logout</t>
        </is>
      </c>
      <c r="E7" s="3" t="inlineStr">
        <is>
          <t>退出登录完成</t>
        </is>
      </c>
      <c r="F7" s="3" t="inlineStr">
        <is>
          <t>—</t>
        </is>
      </c>
      <c r="G7" s="3" t="inlineStr">
        <is>
          <t>Both</t>
        </is>
      </c>
      <c r="H7" s="3" t="inlineStr">
        <is>
          <t>退出登录次数统计</t>
        </is>
      </c>
    </row>
    <row r="8">
      <c r="A8" s="4" t="inlineStr">
        <is>
          <t>B-01</t>
        </is>
      </c>
      <c r="B8" s="4" t="inlineStr">
        <is>
          <t>导航与页面</t>
        </is>
      </c>
      <c r="C8" s="4" t="inlineStr">
        <is>
          <t>L1-页面访问</t>
        </is>
      </c>
      <c r="D8" s="4" t="inlineStr">
        <is>
          <t>pv_page</t>
        </is>
      </c>
      <c r="E8" s="4" t="inlineStr">
        <is>
          <t>页面加载完成 / Tab切换</t>
        </is>
      </c>
      <c r="F8" s="4" t="inlineStr">
        <is>
          <t>page_id: 页面标识</t>
        </is>
      </c>
      <c r="G8" s="4" t="inlineStr">
        <is>
          <t>Both</t>
        </is>
      </c>
      <c r="H8" s="4" t="inlineStr">
        <is>
          <t>⭐ 各页面PV/UV，衡量页面热度</t>
        </is>
      </c>
    </row>
    <row r="9">
      <c r="A9" s="3" t="inlineStr">
        <is>
          <t>B-02</t>
        </is>
      </c>
      <c r="B9" s="3" t="inlineStr">
        <is>
          <t>导航与页面</t>
        </is>
      </c>
      <c r="C9" s="3" t="inlineStr">
        <is>
          <t>L3-用户交互</t>
        </is>
      </c>
      <c r="D9" s="3" t="inlineStr">
        <is>
          <t>click_nav_link</t>
        </is>
      </c>
      <c r="E9" s="3" t="inlineStr">
        <is>
          <t>Desktop: 点击顶部导航链接</t>
        </is>
      </c>
      <c r="F9" s="3" t="inlineStr">
        <is>
          <t>target_page: 目标页面</t>
        </is>
      </c>
      <c r="G9" s="3" t="inlineStr">
        <is>
          <t>Desktop</t>
        </is>
      </c>
      <c r="H9" s="3" t="inlineStr">
        <is>
          <t>导航使用热度分布</t>
        </is>
      </c>
    </row>
    <row r="10">
      <c r="A10" s="2" t="inlineStr">
        <is>
          <t>B-03</t>
        </is>
      </c>
      <c r="B10" s="2" t="inlineStr">
        <is>
          <t>导航与页面</t>
        </is>
      </c>
      <c r="C10" s="2" t="inlineStr">
        <is>
          <t>L3-用户交互</t>
        </is>
      </c>
      <c r="D10" s="2" t="inlineStr">
        <is>
          <t>click_bottom_nav</t>
        </is>
      </c>
      <c r="E10" s="2" t="inlineStr">
        <is>
          <t>Mobile: 点击底部导航栏</t>
        </is>
      </c>
      <c r="F10" s="2" t="inlineStr">
        <is>
          <t>target_tab: home / tools / profile</t>
        </is>
      </c>
      <c r="G10" s="2" t="inlineStr">
        <is>
          <t>Mobile</t>
        </is>
      </c>
      <c r="H10" s="2" t="inlineStr">
        <is>
          <t>Mobile端各Tab访问占比</t>
        </is>
      </c>
    </row>
    <row r="11">
      <c r="A11" s="3" t="inlineStr">
        <is>
          <t>B-04</t>
        </is>
      </c>
      <c r="B11" s="3" t="inlineStr">
        <is>
          <t>导航与页面</t>
        </is>
      </c>
      <c r="C11" s="3" t="inlineStr">
        <is>
          <t>L3-用户交互</t>
        </is>
      </c>
      <c r="D11" s="3" t="inlineStr">
        <is>
          <t>click_language_switch</t>
        </is>
      </c>
      <c r="E11" s="3" t="inlineStr">
        <is>
          <t>切换语言</t>
        </is>
      </c>
      <c r="F11" s="3" t="inlineStr">
        <is>
          <t>from_lang, to_lang</t>
        </is>
      </c>
      <c r="G11" s="3" t="inlineStr">
        <is>
          <t>Both</t>
        </is>
      </c>
      <c r="H11" s="3" t="inlineStr">
        <is>
          <t>用户语言偏好分析</t>
        </is>
      </c>
    </row>
    <row r="12">
      <c r="A12" s="2" t="inlineStr">
        <is>
          <t>C-01</t>
        </is>
      </c>
      <c r="B12" s="2" t="inlineStr">
        <is>
          <t>日报模块</t>
        </is>
      </c>
      <c r="C12" s="2" t="inlineStr">
        <is>
          <t>L2-模块曝光</t>
        </is>
      </c>
      <c r="D12" s="2" t="inlineStr">
        <is>
          <t>expose_daily_report</t>
        </is>
      </c>
      <c r="E12" s="2" t="inlineStr">
        <is>
          <t>日报卡片进入可视区域</t>
        </is>
      </c>
      <c r="F12" s="2" t="inlineStr">
        <is>
          <t>game_mode: fenghuo / zhanchang</t>
        </is>
      </c>
      <c r="G12" s="2" t="inlineStr">
        <is>
          <t>Both</t>
        </is>
      </c>
      <c r="H12" s="2" t="inlineStr">
        <is>
          <t>日报模块曝光量</t>
        </is>
      </c>
    </row>
    <row r="13">
      <c r="A13" s="3" t="inlineStr">
        <is>
          <t>C-02</t>
        </is>
      </c>
      <c r="B13" s="3" t="inlineStr">
        <is>
          <t>日报模块</t>
        </is>
      </c>
      <c r="C13" s="3" t="inlineStr">
        <is>
          <t>L3-用户交互</t>
        </is>
      </c>
      <c r="D13" s="3" t="inlineStr">
        <is>
          <t>click_daily_report_tab</t>
        </is>
      </c>
      <c r="E13" s="3" t="inlineStr">
        <is>
          <t>切换烽火日报 / 战场日报Tab</t>
        </is>
      </c>
      <c r="F13" s="3" t="inlineStr">
        <is>
          <t>game_mode: fenghuo / zhanchang</t>
        </is>
      </c>
      <c r="G13" s="3" t="inlineStr">
        <is>
          <t>Both</t>
        </is>
      </c>
      <c r="H13" s="3" t="inlineStr">
        <is>
          <t>两种模式用户偏好比例</t>
        </is>
      </c>
    </row>
    <row r="14">
      <c r="A14" s="2" t="inlineStr">
        <is>
          <t>C-03</t>
        </is>
      </c>
      <c r="B14" s="2" t="inlineStr">
        <is>
          <t>日报模块</t>
        </is>
      </c>
      <c r="C14" s="2" t="inlineStr">
        <is>
          <t>L3-用户交互</t>
        </is>
      </c>
      <c r="D14" s="2" t="inlineStr">
        <is>
          <t>click_daily_share_btn</t>
        </is>
      </c>
      <c r="E14" s="2" t="inlineStr">
        <is>
          <t>点击日报分享按钮</t>
        </is>
      </c>
      <c r="F14" s="2" t="inlineStr">
        <is>
          <t>game_mode: fenghuo / zhanchang</t>
        </is>
      </c>
      <c r="G14" s="2" t="inlineStr">
        <is>
          <t>Both</t>
        </is>
      </c>
      <c r="H14" s="2" t="inlineStr">
        <is>
          <t>分享意愿统计</t>
        </is>
      </c>
    </row>
    <row r="15">
      <c r="A15" s="3" t="inlineStr">
        <is>
          <t>D-01</t>
        </is>
      </c>
      <c r="B15" s="3" t="inlineStr">
        <is>
          <t>今日密码</t>
        </is>
      </c>
      <c r="C15" s="3" t="inlineStr">
        <is>
          <t>L2-模块曝光</t>
        </is>
      </c>
      <c r="D15" s="3" t="inlineStr">
        <is>
          <t>expose_daily_password</t>
        </is>
      </c>
      <c r="E15" s="3" t="inlineStr">
        <is>
          <t>每日密码区域进入可视区域</t>
        </is>
      </c>
      <c r="F15" s="3" t="inlineStr">
        <is>
          <t>—</t>
        </is>
      </c>
      <c r="G15" s="3" t="inlineStr">
        <is>
          <t>Both</t>
        </is>
      </c>
      <c r="H15" s="3" t="inlineStr">
        <is>
          <t>密码模块曝光量</t>
        </is>
      </c>
    </row>
    <row r="16">
      <c r="A16" s="2" t="inlineStr">
        <is>
          <t>D-02</t>
        </is>
      </c>
      <c r="B16" s="2" t="inlineStr">
        <is>
          <t>今日密码</t>
        </is>
      </c>
      <c r="C16" s="2" t="inlineStr">
        <is>
          <t>L3-用户交互</t>
        </is>
      </c>
      <c r="D16" s="2" t="inlineStr">
        <is>
          <t>click_password_copy</t>
        </is>
      </c>
      <c r="E16" s="2" t="inlineStr">
        <is>
          <t>点击复制密码</t>
        </is>
      </c>
      <c r="F16" s="2" t="inlineStr">
        <is>
          <t>map_name: 地图名称, password_code: 密码值</t>
        </is>
      </c>
      <c r="G16" s="2" t="inlineStr">
        <is>
          <t>Both</t>
        </is>
      </c>
      <c r="H16" s="2" t="inlineStr">
        <is>
          <t>各地图密码使用热度排行</t>
        </is>
      </c>
    </row>
    <row r="17">
      <c r="A17" s="3" t="inlineStr">
        <is>
          <t>E-01</t>
        </is>
      </c>
      <c r="B17" s="3" t="inlineStr">
        <is>
          <t>改枪推荐</t>
        </is>
      </c>
      <c r="C17" s="3" t="inlineStr">
        <is>
          <t>L2-模块曝光</t>
        </is>
      </c>
      <c r="D17" s="3" t="inlineStr">
        <is>
          <t>expose_gun_builds</t>
        </is>
      </c>
      <c r="E17" s="3" t="inlineStr">
        <is>
          <t>改枪推荐区域进入可视区域</t>
        </is>
      </c>
      <c r="F17" s="3" t="inlineStr">
        <is>
          <t>game_mode: fenghuo / zhanchang</t>
        </is>
      </c>
      <c r="G17" s="3" t="inlineStr">
        <is>
          <t>Both</t>
        </is>
      </c>
      <c r="H17" s="3" t="inlineStr">
        <is>
          <t>改枪推荐模块曝光量</t>
        </is>
      </c>
    </row>
    <row r="18">
      <c r="A18" s="2" t="inlineStr">
        <is>
          <t>E-02</t>
        </is>
      </c>
      <c r="B18" s="2" t="inlineStr">
        <is>
          <t>改枪推荐</t>
        </is>
      </c>
      <c r="C18" s="2" t="inlineStr">
        <is>
          <t>L3-用户交互</t>
        </is>
      </c>
      <c r="D18" s="2" t="inlineStr">
        <is>
          <t>click_gun_selector</t>
        </is>
      </c>
      <c r="E18" s="2" t="inlineStr">
        <is>
          <t>选择/切换枪械</t>
        </is>
      </c>
      <c r="F18" s="2" t="inlineStr">
        <is>
          <t>game_mode, gun_name: 枪械名称</t>
        </is>
      </c>
      <c r="G18" s="2" t="inlineStr">
        <is>
          <t>Both</t>
        </is>
      </c>
      <c r="H18" s="2" t="inlineStr">
        <is>
          <t>各枪械用户关注度排行</t>
        </is>
      </c>
    </row>
    <row r="19">
      <c r="A19" s="4" t="inlineStr">
        <is>
          <t>E-03</t>
        </is>
      </c>
      <c r="B19" s="4" t="inlineStr">
        <is>
          <t>改枪推荐</t>
        </is>
      </c>
      <c r="C19" s="4" t="inlineStr">
        <is>
          <t>L3-用户交互</t>
        </is>
      </c>
      <c r="D19" s="4" t="inlineStr">
        <is>
          <t>click_copy_gun_code</t>
        </is>
      </c>
      <c r="E19" s="4" t="inlineStr">
        <is>
          <t>点击复制改枪码</t>
        </is>
      </c>
      <c r="F19" s="4" t="inlineStr">
        <is>
          <t>game_mode, gun_name, build_type: budget/premium/single</t>
        </is>
      </c>
      <c r="G19" s="4" t="inlineStr">
        <is>
          <t>Both</t>
        </is>
      </c>
      <c r="H19" s="4" t="inlineStr">
        <is>
          <t>⭐ 核心指标：改枪码复制次数 &amp; 各枪械/方案热度</t>
        </is>
      </c>
    </row>
    <row r="20">
      <c r="A20" s="2" t="inlineStr">
        <is>
          <t>F-01</t>
        </is>
      </c>
      <c r="B20" s="2" t="inlineStr">
        <is>
          <t>特勤处制造</t>
        </is>
      </c>
      <c r="C20" s="2" t="inlineStr">
        <is>
          <t>L2-模块曝光</t>
        </is>
      </c>
      <c r="D20" s="2" t="inlineStr">
        <is>
          <t>expose_craft</t>
        </is>
      </c>
      <c r="E20" s="2" t="inlineStr">
        <is>
          <t>特勤处制造模块进入可视区域</t>
        </is>
      </c>
      <c r="F20" s="2" t="inlineStr">
        <is>
          <t>active_tab: detail / recommend</t>
        </is>
      </c>
      <c r="G20" s="2" t="inlineStr">
        <is>
          <t>Both</t>
        </is>
      </c>
      <c r="H20" s="2" t="inlineStr">
        <is>
          <t>制造模块曝光量</t>
        </is>
      </c>
    </row>
    <row r="21">
      <c r="A21" s="3" t="inlineStr">
        <is>
          <t>F-02</t>
        </is>
      </c>
      <c r="B21" s="3" t="inlineStr">
        <is>
          <t>特勤处制造</t>
        </is>
      </c>
      <c r="C21" s="3" t="inlineStr">
        <is>
          <t>L3-用户交互</t>
        </is>
      </c>
      <c r="D21" s="3" t="inlineStr">
        <is>
          <t>click_craft_main_tab</t>
        </is>
      </c>
      <c r="E21" s="3" t="inlineStr">
        <is>
          <t>切换制造详情 / 制造推荐Tab</t>
        </is>
      </c>
      <c r="F21" s="3" t="inlineStr">
        <is>
          <t>tab: detail / recommend</t>
        </is>
      </c>
      <c r="G21" s="3" t="inlineStr">
        <is>
          <t>Both</t>
        </is>
      </c>
      <c r="H21" s="3" t="inlineStr">
        <is>
          <t>两种内容的用户偏好对比</t>
        </is>
      </c>
    </row>
    <row r="22">
      <c r="A22" s="2" t="inlineStr">
        <is>
          <t>F-03</t>
        </is>
      </c>
      <c r="B22" s="2" t="inlineStr">
        <is>
          <t>特勤处制造</t>
        </is>
      </c>
      <c r="C22" s="2" t="inlineStr">
        <is>
          <t>L3-用户交互</t>
        </is>
      </c>
      <c r="D22" s="2" t="inlineStr">
        <is>
          <t>click_craft_item</t>
        </is>
      </c>
      <c r="E22" s="2" t="inlineStr">
        <is>
          <t>点击选中推荐物品卡片</t>
        </is>
      </c>
      <c r="F22" s="2" t="inlineStr">
        <is>
          <t>item_name, station_name, profit_per_hour</t>
        </is>
      </c>
      <c r="G22" s="2" t="inlineStr">
        <is>
          <t>Both</t>
        </is>
      </c>
      <c r="H22" s="2" t="inlineStr">
        <is>
          <t>各物品关注度，高收益物品偏好分析</t>
        </is>
      </c>
    </row>
    <row r="23">
      <c r="A23" s="3" t="inlineStr">
        <is>
          <t>G-01</t>
        </is>
      </c>
      <c r="B23" s="3" t="inlineStr">
        <is>
          <t>大红展馆</t>
        </is>
      </c>
      <c r="C23" s="3" t="inlineStr">
        <is>
          <t>L2-模块曝光</t>
        </is>
      </c>
      <c r="D23" s="3" t="inlineStr">
        <is>
          <t>expose_collection</t>
        </is>
      </c>
      <c r="E23" s="3" t="inlineStr">
        <is>
          <t>大红展馆模块进入可视区域</t>
        </is>
      </c>
      <c r="F23" s="3" t="inlineStr">
        <is>
          <t>—</t>
        </is>
      </c>
      <c r="G23" s="3" t="inlineStr">
        <is>
          <t>Both</t>
        </is>
      </c>
      <c r="H23" s="3" t="inlineStr">
        <is>
          <t>大红展馆模块曝光量</t>
        </is>
      </c>
    </row>
    <row r="24">
      <c r="A24" s="2" t="inlineStr">
        <is>
          <t>G-02</t>
        </is>
      </c>
      <c r="B24" s="2" t="inlineStr">
        <is>
          <t>大红展馆</t>
        </is>
      </c>
      <c r="C24" s="2" t="inlineStr">
        <is>
          <t>L3-用户交互</t>
        </is>
      </c>
      <c r="D24" s="2" t="inlineStr">
        <is>
          <t>click_collection_poster_share</t>
        </is>
      </c>
      <c r="E24" s="2" t="inlineStr">
        <is>
          <t>海报弹窗-点击分享按钮</t>
        </is>
      </c>
      <c r="F24" s="2" t="inlineStr">
        <is>
          <t>share_channel: save_image/x/facebook/reddit</t>
        </is>
      </c>
      <c r="G24" s="2" t="inlineStr">
        <is>
          <t>Desktop</t>
        </is>
      </c>
      <c r="H24" s="2" t="inlineStr">
        <is>
          <t>各分享渠道使用率对比</t>
        </is>
      </c>
    </row>
    <row r="25">
      <c r="A25" s="3" t="inlineStr">
        <is>
          <t>H-01</t>
        </is>
      </c>
      <c r="B25" s="3" t="inlineStr">
        <is>
          <t>分享功能</t>
        </is>
      </c>
      <c r="C25" s="3" t="inlineStr">
        <is>
          <t>L1-页面访问</t>
        </is>
      </c>
      <c r="D25" s="3" t="inlineStr">
        <is>
          <t>pv_daily_poster_modal</t>
        </is>
      </c>
      <c r="E25" s="3" t="inlineStr">
        <is>
          <t>日报分享海报弹窗打开</t>
        </is>
      </c>
      <c r="F25" s="3" t="inlineStr">
        <is>
          <t>game_mode: fenghuo / zhanchang</t>
        </is>
      </c>
      <c r="G25" s="3" t="inlineStr">
        <is>
          <t>Both</t>
        </is>
      </c>
      <c r="H25" s="3" t="inlineStr">
        <is>
          <t>分享海报弹窗打开率</t>
        </is>
      </c>
    </row>
    <row r="26">
      <c r="A26" s="4" t="inlineStr">
        <is>
          <t>H-02</t>
        </is>
      </c>
      <c r="B26" s="4" t="inlineStr">
        <is>
          <t>分享功能</t>
        </is>
      </c>
      <c r="C26" s="4" t="inlineStr">
        <is>
          <t>L3-用户交互</t>
        </is>
      </c>
      <c r="D26" s="4" t="inlineStr">
        <is>
          <t>click_daily_poster_share</t>
        </is>
      </c>
      <c r="E26" s="4" t="inlineStr">
        <is>
          <t>点击日报海报分享渠道按钮</t>
        </is>
      </c>
      <c r="F26" s="4" t="inlineStr">
        <is>
          <t>game_mode, share_channel: save_image/x/discord/facebook/reddit/copy_link</t>
        </is>
      </c>
      <c r="G26" s="4" t="inlineStr">
        <is>
          <t>Both</t>
        </is>
      </c>
      <c r="H26" s="4" t="inlineStr">
        <is>
          <t>⭐ 核心指标：各分享渠道转化率对比</t>
        </is>
      </c>
    </row>
    <row r="27">
      <c r="A27" s="3" t="inlineStr">
        <is>
          <t>K-01</t>
        </is>
      </c>
      <c r="B27" s="3" t="inlineStr">
        <is>
          <t>我的页面</t>
        </is>
      </c>
      <c r="C27" s="3" t="inlineStr">
        <is>
          <t>L1-页面访问</t>
        </is>
      </c>
      <c r="D27" s="3" t="inlineStr">
        <is>
          <t>pv_my_data</t>
        </is>
      </c>
      <c r="E27" s="3" t="inlineStr">
        <is>
          <t>我的数据页加载 / 我的Tab展示</t>
        </is>
      </c>
      <c r="F27" s="3" t="inlineStr">
        <is>
          <t>game_mode: 当前模式</t>
        </is>
      </c>
      <c r="G27" s="3" t="inlineStr">
        <is>
          <t>Both</t>
        </is>
      </c>
      <c r="H27" s="3" t="inlineStr">
        <is>
          <t>我的页面访问量</t>
        </is>
      </c>
    </row>
    <row r="28">
      <c r="A28" s="2" t="inlineStr">
        <is>
          <t>K-02</t>
        </is>
      </c>
      <c r="B28" s="2" t="inlineStr">
        <is>
          <t>我的页面</t>
        </is>
      </c>
      <c r="C28" s="2" t="inlineStr">
        <is>
          <t>L3-用户交互</t>
        </is>
      </c>
      <c r="D28" s="2" t="inlineStr">
        <is>
          <t>click_game_mode_switch</t>
        </is>
      </c>
      <c r="E28" s="2" t="inlineStr">
        <is>
          <t>切换烽火地带 / 全面战场模式</t>
        </is>
      </c>
      <c r="F28" s="2" t="inlineStr">
        <is>
          <t>game_mode: fenghuo / zhanchang</t>
        </is>
      </c>
      <c r="G28" s="2" t="inlineStr">
        <is>
          <t>Both</t>
        </is>
      </c>
      <c r="H28" s="2" t="inlineStr">
        <is>
          <t>两种模式的用户偏好对比</t>
        </is>
      </c>
    </row>
    <row r="29">
      <c r="A29" s="3" t="inlineStr">
        <is>
          <t>K-03</t>
        </is>
      </c>
      <c r="B29" s="3" t="inlineStr">
        <is>
          <t>我的页面</t>
        </is>
      </c>
      <c r="C29" s="3" t="inlineStr">
        <is>
          <t>L3-用户交互</t>
        </is>
      </c>
      <c r="D29" s="3" t="inlineStr">
        <is>
          <t>click_profile_tab</t>
        </is>
      </c>
      <c r="E29" s="3" t="inlineStr">
        <is>
          <t>Desktop: 切换Profile内容Tab</t>
        </is>
      </c>
      <c r="F29" s="3" t="inlineStr">
        <is>
          <t>profile_tab: 总览/战绩/枪械/干员/地图</t>
        </is>
      </c>
      <c r="G29" s="3" t="inlineStr">
        <is>
          <t>Desktop</t>
        </is>
      </c>
      <c r="H29" s="3" t="inlineStr">
        <is>
          <t>各维度数据的用户关注度排行</t>
        </is>
      </c>
    </row>
    <row r="30">
      <c r="A30" s="2" t="inlineStr">
        <is>
          <t>L-01</t>
        </is>
      </c>
      <c r="B30" s="2" t="inlineStr">
        <is>
          <t>意见反馈</t>
        </is>
      </c>
      <c r="C30" s="2" t="inlineStr">
        <is>
          <t>L3-用户交互</t>
        </is>
      </c>
      <c r="D30" s="2" t="inlineStr">
        <is>
          <t>click_feedback_submit</t>
        </is>
      </c>
      <c r="E30" s="2" t="inlineStr">
        <is>
          <t>点击提交反馈按钮</t>
        </is>
      </c>
      <c r="F30" s="2" t="inlineStr">
        <is>
          <t>has_text: Boolean, image_count: 附图数量</t>
        </is>
      </c>
      <c r="G30" s="2" t="inlineStr">
        <is>
          <t>Both</t>
        </is>
      </c>
      <c r="H30" s="2" t="inlineStr">
        <is>
          <t>反馈提交率，内容完整度分析</t>
        </is>
      </c>
    </row>
    <row r="31">
      <c r="A31" s="3" t="inlineStr">
        <is>
          <t>L-02</t>
        </is>
      </c>
      <c r="B31" s="3" t="inlineStr">
        <is>
          <t>意见反馈</t>
        </is>
      </c>
      <c r="C31" s="3" t="inlineStr">
        <is>
          <t>L4-业务结果</t>
        </is>
      </c>
      <c r="D31" s="3" t="inlineStr">
        <is>
          <t>result_feedback_submit</t>
        </is>
      </c>
      <c r="E31" s="3" t="inlineStr">
        <is>
          <t>反馈提交请求返回</t>
        </is>
      </c>
      <c r="F31" s="3" t="inlineStr">
        <is>
          <t>success: Boolean, has_text, image_count</t>
        </is>
      </c>
      <c r="G31" s="3" t="inlineStr">
        <is>
          <t>Both</t>
        </is>
      </c>
      <c r="H31" s="3" t="inlineStr">
        <is>
          <t>反馈提交成功率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32" customWidth="1" min="4" max="4"/>
    <col width="40" customWidth="1" min="5" max="5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是否必填</t>
        </is>
      </c>
      <c r="D1" s="1" t="inlineStr">
        <is>
          <t>说明</t>
        </is>
      </c>
      <c r="E1" s="1" t="inlineStr">
        <is>
          <t>示例值</t>
        </is>
      </c>
    </row>
    <row r="2">
      <c r="A2" s="2" t="inlineStr">
        <is>
          <t>platform</t>
        </is>
      </c>
      <c r="B2" s="2" t="inlineStr">
        <is>
          <t>String</t>
        </is>
      </c>
      <c r="C2" s="2" t="inlineStr">
        <is>
          <t>是</t>
        </is>
      </c>
      <c r="D2" s="2" t="inlineStr">
        <is>
          <t>端类型</t>
        </is>
      </c>
      <c r="E2" s="2" t="inlineStr">
        <is>
          <t>desktop / mobile</t>
        </is>
      </c>
    </row>
    <row r="3">
      <c r="A3" s="3" t="inlineStr">
        <is>
          <t>page_id</t>
        </is>
      </c>
      <c r="B3" s="3" t="inlineStr">
        <is>
          <t>String</t>
        </is>
      </c>
      <c r="C3" s="3" t="inlineStr">
        <is>
          <t>是</t>
        </is>
      </c>
      <c r="D3" s="3" t="inlineStr">
        <is>
          <t>当前页面标识</t>
        </is>
      </c>
      <c r="E3" s="3" t="inlineStr">
        <is>
          <t>home / my_data / m_home / m_tools / m_profile</t>
        </is>
      </c>
    </row>
    <row r="4">
      <c r="A4" s="2" t="inlineStr">
        <is>
          <t>user_id</t>
        </is>
      </c>
      <c r="B4" s="2" t="inlineStr">
        <is>
          <t>String</t>
        </is>
      </c>
      <c r="C4" s="2" t="inlineStr">
        <is>
          <t>是</t>
        </is>
      </c>
      <c r="D4" s="2" t="inlineStr">
        <is>
          <t>用户ID（未登录传空）</t>
        </is>
      </c>
      <c r="E4" s="2" t="inlineStr">
        <is>
          <t>uid_123456</t>
        </is>
      </c>
    </row>
    <row r="5">
      <c r="A5" s="3" t="inlineStr">
        <is>
          <t>login_status</t>
        </is>
      </c>
      <c r="B5" s="3" t="inlineStr">
        <is>
          <t>String</t>
        </is>
      </c>
      <c r="C5" s="3" t="inlineStr">
        <is>
          <t>是</t>
        </is>
      </c>
      <c r="D5" s="3" t="inlineStr">
        <is>
          <t>登录状态</t>
        </is>
      </c>
      <c r="E5" s="3" t="inlineStr">
        <is>
          <t>logged_in / guest</t>
        </is>
      </c>
    </row>
    <row r="6">
      <c r="A6" s="2" t="inlineStr">
        <is>
          <t>login_method</t>
        </is>
      </c>
      <c r="B6" s="2" t="inlineStr">
        <is>
          <t>String</t>
        </is>
      </c>
      <c r="C6" s="2" t="inlineStr">
        <is>
          <t>否</t>
        </is>
      </c>
      <c r="D6" s="2" t="inlineStr">
        <is>
          <t>登录平台（未登录传空）</t>
        </is>
      </c>
      <c r="E6" s="2" t="inlineStr">
        <is>
          <t>level_infinite / garena</t>
        </is>
      </c>
    </row>
    <row r="7">
      <c r="A7" s="3" t="inlineStr">
        <is>
          <t>language</t>
        </is>
      </c>
      <c r="B7" s="3" t="inlineStr">
        <is>
          <t>String</t>
        </is>
      </c>
      <c r="C7" s="3" t="inlineStr">
        <is>
          <t>是</t>
        </is>
      </c>
      <c r="D7" s="3" t="inlineStr">
        <is>
          <t>当前界面语言</t>
        </is>
      </c>
      <c r="E7" s="3" t="inlineStr">
        <is>
          <t>zh-CN / en / ja / ko / de</t>
        </is>
      </c>
    </row>
    <row r="8">
      <c r="A8" s="2" t="inlineStr">
        <is>
          <t>timestamp</t>
        </is>
      </c>
      <c r="B8" s="2" t="inlineStr">
        <is>
          <t>Long</t>
        </is>
      </c>
      <c r="C8" s="2" t="inlineStr">
        <is>
          <t>是</t>
        </is>
      </c>
      <c r="D8" s="2" t="inlineStr">
        <is>
          <t>事件发生时间戳</t>
        </is>
      </c>
      <c r="E8" s="2" t="inlineStr">
        <is>
          <t>1741737600000</t>
        </is>
      </c>
    </row>
    <row r="9">
      <c r="A9" s="3" t="inlineStr">
        <is>
          <t>session_id</t>
        </is>
      </c>
      <c r="B9" s="3" t="inlineStr">
        <is>
          <t>String</t>
        </is>
      </c>
      <c r="C9" s="3" t="inlineStr">
        <is>
          <t>是</t>
        </is>
      </c>
      <c r="D9" s="3" t="inlineStr">
        <is>
          <t>会话ID</t>
        </is>
      </c>
      <c r="E9" s="3" t="inlineStr">
        <is>
          <t>sess_abc123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12" customWidth="1" min="4" max="4"/>
    <col width="30" customWidth="1" min="5" max="5"/>
  </cols>
  <sheetData>
    <row r="1">
      <c r="A1" s="1" t="inlineStr">
        <is>
          <t>层级</t>
        </is>
      </c>
      <c r="B1" s="1" t="inlineStr">
        <is>
          <t>类型</t>
        </is>
      </c>
      <c r="C1" s="1" t="inlineStr">
        <is>
          <t>说明</t>
        </is>
      </c>
      <c r="D1" s="1" t="inlineStr">
        <is>
          <t>命名前缀</t>
        </is>
      </c>
      <c r="E1" s="1" t="inlineStr">
        <is>
          <t>示例</t>
        </is>
      </c>
    </row>
    <row r="2">
      <c r="A2" s="2" t="inlineStr">
        <is>
          <t>L1</t>
        </is>
      </c>
      <c r="B2" s="2" t="inlineStr">
        <is>
          <t>页面访问（Page View）</t>
        </is>
      </c>
      <c r="C2" s="2" t="inlineStr">
        <is>
          <t>用户进入某个页面/Tab页面级内容</t>
        </is>
      </c>
      <c r="D2" s="2" t="inlineStr">
        <is>
          <t>pv_</t>
        </is>
      </c>
      <c r="E2" s="2" t="inlineStr">
        <is>
          <t>pv_home, pv_my_data</t>
        </is>
      </c>
    </row>
    <row r="3">
      <c r="A3" s="3" t="inlineStr">
        <is>
          <t>L2</t>
        </is>
      </c>
      <c r="B3" s="3" t="inlineStr">
        <is>
          <t>模块曝光（Module Expose）</t>
        </is>
      </c>
      <c r="C3" s="3" t="inlineStr">
        <is>
          <t>页面内某功能模块进入可视区域</t>
        </is>
      </c>
      <c r="D3" s="3" t="inlineStr">
        <is>
          <t>expose_</t>
        </is>
      </c>
      <c r="E3" s="3" t="inlineStr">
        <is>
          <t>expose_daily_report</t>
        </is>
      </c>
    </row>
    <row r="4">
      <c r="A4" s="2" t="inlineStr">
        <is>
          <t>L3</t>
        </is>
      </c>
      <c r="B4" s="2" t="inlineStr">
        <is>
          <t>用户交互（User Action）</t>
        </is>
      </c>
      <c r="C4" s="2" t="inlineStr">
        <is>
          <t>点击、滑动、切换、输入等主动行为</t>
        </is>
      </c>
      <c r="D4" s="2" t="inlineStr">
        <is>
          <t>click_</t>
        </is>
      </c>
      <c r="E4" s="2" t="inlineStr">
        <is>
          <t>click_login_entry</t>
        </is>
      </c>
    </row>
    <row r="5">
      <c r="A5" s="3" t="inlineStr">
        <is>
          <t>L4</t>
        </is>
      </c>
      <c r="B5" s="3" t="inlineStr">
        <is>
          <t>业务结果（Biz Result）</t>
        </is>
      </c>
      <c r="C5" s="3" t="inlineStr">
        <is>
          <t>关键业务流程的结果反馈</t>
        </is>
      </c>
      <c r="D5" s="3" t="inlineStr">
        <is>
          <t>result_</t>
        </is>
      </c>
      <c r="E5" s="3" t="inlineStr">
        <is>
          <t>result_login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56" customWidth="1" min="5" max="5"/>
    <col width="22" customWidth="1" min="6" max="6"/>
  </cols>
  <sheetData>
    <row r="1">
      <c r="A1" s="1" t="inlineStr">
        <is>
          <t>端</t>
        </is>
      </c>
      <c r="B1" s="1" t="inlineStr">
        <is>
          <t>页面</t>
        </is>
      </c>
      <c r="C1" s="1" t="inlineStr">
        <is>
          <t>文件/组件</t>
        </is>
      </c>
      <c r="D1" s="1" t="inlineStr">
        <is>
          <t>page_id</t>
        </is>
      </c>
      <c r="E1" s="1" t="inlineStr">
        <is>
          <t>核心功能模块</t>
        </is>
      </c>
      <c r="F1" s="1" t="inlineStr">
        <is>
          <t>V1.0状态</t>
        </is>
      </c>
    </row>
    <row r="2">
      <c r="A2" s="2" t="inlineStr">
        <is>
          <t>Desktop</t>
        </is>
      </c>
      <c r="B2" s="2" t="inlineStr">
        <is>
          <t>首页</t>
        </is>
      </c>
      <c r="C2" s="2" t="inlineStr">
        <is>
          <t>index.html</t>
        </is>
      </c>
      <c r="D2" s="2" t="inlineStr">
        <is>
          <t>home</t>
        </is>
      </c>
      <c r="E2" s="2" t="inlineStr">
        <is>
          <t>日报 + 每日密码 + 改枪推荐 + 特勤处制造 + 大红展馆</t>
        </is>
      </c>
      <c r="F2" s="2" t="inlineStr">
        <is>
          <t>上线</t>
        </is>
      </c>
    </row>
    <row r="3">
      <c r="A3" s="3" t="inlineStr">
        <is>
          <t>Desktop</t>
        </is>
      </c>
      <c r="B3" s="3" t="inlineStr">
        <is>
          <t>我的数据</t>
        </is>
      </c>
      <c r="C3" s="3" t="inlineStr">
        <is>
          <t>my-data.html</t>
        </is>
      </c>
      <c r="D3" s="3" t="inlineStr">
        <is>
          <t>my_data</t>
        </is>
      </c>
      <c r="E3" s="3" t="inlineStr">
        <is>
          <t>个人资料 + 模式切换 + Profile Tabs(总览/战绩/枪械/干员/地图)</t>
        </is>
      </c>
      <c r="F3" s="3" t="inlineStr">
        <is>
          <t>上线</t>
        </is>
      </c>
    </row>
    <row r="4">
      <c r="A4" s="2" t="inlineStr">
        <is>
          <t>Desktop</t>
        </is>
      </c>
      <c r="B4" s="2" t="inlineStr">
        <is>
          <t>改枪推荐(独立页)</t>
        </is>
      </c>
      <c r="C4" s="2" t="inlineStr">
        <is>
          <t>gun-builds.html</t>
        </is>
      </c>
      <c r="D4" s="2" t="inlineStr">
        <is>
          <t>gun_builds</t>
        </is>
      </c>
      <c r="E4" s="2" t="inlineStr">
        <is>
          <t>枪械列表+筛选 + 改装方案卡片</t>
        </is>
      </c>
      <c r="F4" s="2" t="inlineStr">
        <is>
          <t>页面存在但导航隐藏</t>
        </is>
      </c>
    </row>
    <row r="5">
      <c r="A5" s="3" t="inlineStr">
        <is>
          <t>Desktop</t>
        </is>
      </c>
      <c r="B5" s="3" t="inlineStr">
        <is>
          <t>交易制造(独立页)</t>
        </is>
      </c>
      <c r="C5" s="3" t="inlineStr">
        <is>
          <t>craft.html</t>
        </is>
      </c>
      <c r="D5" s="3" t="inlineStr">
        <is>
          <t>craft_page</t>
        </is>
      </c>
      <c r="E5" s="3" t="inlineStr">
        <is>
          <t>制造推荐 + 交易物价</t>
        </is>
      </c>
      <c r="F5" s="3" t="inlineStr">
        <is>
          <t>页面存在但导航隐藏</t>
        </is>
      </c>
    </row>
    <row r="6">
      <c r="A6" s="2" t="inlineStr">
        <is>
          <t>Mobile</t>
        </is>
      </c>
      <c r="B6" s="2" t="inlineStr">
        <is>
          <t>首页Tab</t>
        </is>
      </c>
      <c r="C6" s="2" t="inlineStr">
        <is>
          <t>page-home</t>
        </is>
      </c>
      <c r="D6" s="2" t="inlineStr">
        <is>
          <t>m_home</t>
        </is>
      </c>
      <c r="E6" s="2" t="inlineStr">
        <is>
          <t>日报 + 今日密码 + 昨日收益 + 制造 + 改枪推荐</t>
        </is>
      </c>
      <c r="F6" s="2" t="inlineStr">
        <is>
          <t>上线</t>
        </is>
      </c>
    </row>
    <row r="7">
      <c r="A7" s="3" t="inlineStr">
        <is>
          <t>Mobile</t>
        </is>
      </c>
      <c r="B7" s="3" t="inlineStr">
        <is>
          <t>工具Tab</t>
        </is>
      </c>
      <c r="C7" s="3" t="inlineStr">
        <is>
          <t>page-tools</t>
        </is>
      </c>
      <c r="D7" s="3" t="inlineStr">
        <is>
          <t>m_tools</t>
        </is>
      </c>
      <c r="E7" s="3" t="inlineStr">
        <is>
          <t>制造推荐(四工作台+走势图)</t>
        </is>
      </c>
      <c r="F7" s="3" t="inlineStr">
        <is>
          <t>上线</t>
        </is>
      </c>
    </row>
    <row r="8">
      <c r="A8" s="2" t="inlineStr">
        <is>
          <t>Mobile</t>
        </is>
      </c>
      <c r="B8" s="2" t="inlineStr">
        <is>
          <t>我的Tab</t>
        </is>
      </c>
      <c r="C8" s="2" t="inlineStr">
        <is>
          <t>page-profile</t>
        </is>
      </c>
      <c r="D8" s="2" t="inlineStr">
        <is>
          <t>m_profile</t>
        </is>
      </c>
      <c r="E8" s="2" t="inlineStr">
        <is>
          <t>个人资料 + 模式切换 + 战绩/大红藏馆Tab</t>
        </is>
      </c>
      <c r="F8" s="2" t="inlineStr">
        <is>
          <t>上线</t>
        </is>
      </c>
    </row>
    <row r="9">
      <c r="A9" s="3" t="inlineStr">
        <is>
          <t>Mobile</t>
        </is>
      </c>
      <c r="B9" s="3" t="inlineStr">
        <is>
          <t>物价详情子页面</t>
        </is>
      </c>
      <c r="C9" s="3" t="inlineStr">
        <is>
          <t>price-detail</t>
        </is>
      </c>
      <c r="D9" s="3" t="inlineStr">
        <is>
          <t>m_price_detail</t>
        </is>
      </c>
      <c r="E9" s="3" t="inlineStr">
        <is>
          <t>物品搜索/筛选/排序 + 物品详情</t>
        </is>
      </c>
      <c r="F9" s="3" t="inlineStr">
        <is>
          <t>上线</t>
        </is>
      </c>
    </row>
    <row r="10">
      <c r="A10" s="2" t="inlineStr">
        <is>
          <t>Mobile</t>
        </is>
      </c>
      <c r="B10" s="2" t="inlineStr">
        <is>
          <t>Wiki Tab</t>
        </is>
      </c>
      <c r="C10" s="2" t="inlineStr">
        <is>
          <t>page-wiki</t>
        </is>
      </c>
      <c r="D10" s="2" t="inlineStr">
        <is>
          <t>—</t>
        </is>
      </c>
      <c r="E10" s="2" t="inlineStr">
        <is>
          <t>攻略推荐+实用百科</t>
        </is>
      </c>
      <c r="F10" s="2" t="inlineStr">
        <is>
          <t>V1.0隐藏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</cols>
  <sheetData>
    <row r="1">
      <c r="A1" s="5" t="inlineStr">
        <is>
          <t>埋点统计汇总（精简版）</t>
        </is>
      </c>
    </row>
    <row r="3">
      <c r="A3" s="6" t="inlineStr">
        <is>
          <t>维度</t>
        </is>
      </c>
      <c r="B3" s="6" t="inlineStr">
        <is>
          <t>项目</t>
        </is>
      </c>
      <c r="C3" s="6" t="inlineStr">
        <is>
          <t>数量</t>
        </is>
      </c>
    </row>
    <row r="4">
      <c r="A4" s="2" t="inlineStr">
        <is>
          <t>事件总数</t>
        </is>
      </c>
      <c r="B4" s="2" t="inlineStr">
        <is>
          <t>全部埋点事件</t>
        </is>
      </c>
      <c r="C4" s="2">
        <f>COUNTA('埋点需求总表'!A2:A200)</f>
        <v/>
      </c>
    </row>
    <row r="5">
      <c r="A5" s="3" t="inlineStr">
        <is>
          <t>按层级</t>
        </is>
      </c>
      <c r="B5" s="3" t="inlineStr">
        <is>
          <t>L1-页面访问</t>
        </is>
      </c>
      <c r="C5" s="3">
        <f>COUNTIF('埋点需求总表'!C2:C200,"L1*")</f>
        <v/>
      </c>
    </row>
    <row r="6">
      <c r="A6" s="2" t="inlineStr">
        <is>
          <t>按层级</t>
        </is>
      </c>
      <c r="B6" s="2" t="inlineStr">
        <is>
          <t>L2-模块曝光</t>
        </is>
      </c>
      <c r="C6" s="2">
        <f>COUNTIF('埋点需求总表'!C2:C200,"L2*")</f>
        <v/>
      </c>
    </row>
    <row r="7">
      <c r="A7" s="3" t="inlineStr">
        <is>
          <t>按层级</t>
        </is>
      </c>
      <c r="B7" s="3" t="inlineStr">
        <is>
          <t>L3-用户交互</t>
        </is>
      </c>
      <c r="C7" s="3">
        <f>COUNTIF('埋点需求总表'!C2:C200,"L3*")</f>
        <v/>
      </c>
    </row>
    <row r="8">
      <c r="A8" s="2" t="inlineStr">
        <is>
          <t>按层级</t>
        </is>
      </c>
      <c r="B8" s="2" t="inlineStr">
        <is>
          <t>L4-业务结果</t>
        </is>
      </c>
      <c r="C8" s="2">
        <f>COUNTIF('埋点需求总表'!C2:C200,"L4*")</f>
        <v/>
      </c>
    </row>
    <row r="9">
      <c r="A9" s="3" t="inlineStr">
        <is>
          <t>按适用端</t>
        </is>
      </c>
      <c r="B9" s="3" t="inlineStr">
        <is>
          <t>Both(双端)</t>
        </is>
      </c>
      <c r="C9" s="3">
        <f>COUNTIF('埋点需求总表'!G2:G200,"Both")</f>
        <v/>
      </c>
    </row>
    <row r="10">
      <c r="A10" s="2" t="inlineStr">
        <is>
          <t>按适用端</t>
        </is>
      </c>
      <c r="B10" s="2" t="inlineStr">
        <is>
          <t>Desktop</t>
        </is>
      </c>
      <c r="C10" s="2">
        <f>COUNTIF('埋点需求总表'!G2:G200,"Desktop")</f>
        <v/>
      </c>
    </row>
    <row r="11">
      <c r="A11" s="3" t="inlineStr">
        <is>
          <t>按适用端</t>
        </is>
      </c>
      <c r="B11" s="3" t="inlineStr">
        <is>
          <t>Mobile</t>
        </is>
      </c>
      <c r="C11" s="3">
        <f>COUNTIF('埋点需求总表'!G2:G200,"Mobile")</f>
        <v/>
      </c>
    </row>
    <row r="12">
      <c r="A12" s="2" t="inlineStr">
        <is>
          <t>按模块</t>
        </is>
      </c>
      <c r="B12" s="2" t="inlineStr">
        <is>
          <t>登录与账号</t>
        </is>
      </c>
      <c r="C12" s="2">
        <f>COUNTIF('埋点需求总表'!B2:B200,"登录与账号")</f>
        <v/>
      </c>
    </row>
    <row r="13">
      <c r="A13" s="3" t="inlineStr">
        <is>
          <t>按模块</t>
        </is>
      </c>
      <c r="B13" s="3" t="inlineStr">
        <is>
          <t>导航与页面</t>
        </is>
      </c>
      <c r="C13" s="3">
        <f>COUNTIF('埋点需求总表'!B2:B200,"导航与页面")</f>
        <v/>
      </c>
    </row>
    <row r="14">
      <c r="A14" s="2" t="inlineStr">
        <is>
          <t>按模块</t>
        </is>
      </c>
      <c r="B14" s="2" t="inlineStr">
        <is>
          <t>日报模块</t>
        </is>
      </c>
      <c r="C14" s="2">
        <f>COUNTIF('埋点需求总表'!B2:B200,"日报模块")</f>
        <v/>
      </c>
    </row>
    <row r="15">
      <c r="A15" s="3" t="inlineStr">
        <is>
          <t>按模块</t>
        </is>
      </c>
      <c r="B15" s="3" t="inlineStr">
        <is>
          <t>今日密码</t>
        </is>
      </c>
      <c r="C15" s="3">
        <f>COUNTIF('埋点需求总表'!B2:B200,"今日密码")</f>
        <v/>
      </c>
    </row>
    <row r="16">
      <c r="A16" s="2" t="inlineStr">
        <is>
          <t>按模块</t>
        </is>
      </c>
      <c r="B16" s="2" t="inlineStr">
        <is>
          <t>改枪推荐</t>
        </is>
      </c>
      <c r="C16" s="2">
        <f>COUNTIF('埋点需求总表'!B2:B200,"改枪推荐")</f>
        <v/>
      </c>
    </row>
    <row r="17">
      <c r="A17" s="3" t="inlineStr">
        <is>
          <t>按模块</t>
        </is>
      </c>
      <c r="B17" s="3" t="inlineStr">
        <is>
          <t>特勤处制造</t>
        </is>
      </c>
      <c r="C17" s="3">
        <f>COUNTIF('埋点需求总表'!B2:B200,"特勤处制造")</f>
        <v/>
      </c>
    </row>
    <row r="18">
      <c r="A18" s="2" t="inlineStr">
        <is>
          <t>按模块</t>
        </is>
      </c>
      <c r="B18" s="2" t="inlineStr">
        <is>
          <t>大红展馆</t>
        </is>
      </c>
      <c r="C18" s="2">
        <f>COUNTIF('埋点需求总表'!B2:B200,"大红展馆")</f>
        <v/>
      </c>
    </row>
    <row r="19">
      <c r="A19" s="3" t="inlineStr">
        <is>
          <t>按模块</t>
        </is>
      </c>
      <c r="B19" s="3" t="inlineStr">
        <is>
          <t>分享功能</t>
        </is>
      </c>
      <c r="C19" s="3">
        <f>COUNTIF('埋点需求总表'!B2:B200,"分享功能")</f>
        <v/>
      </c>
    </row>
    <row r="20">
      <c r="A20" s="2" t="inlineStr">
        <is>
          <t>按模块</t>
        </is>
      </c>
      <c r="B20" s="2" t="inlineStr">
        <is>
          <t>我的页面</t>
        </is>
      </c>
      <c r="C20" s="2">
        <f>COUNTIF('埋点需求总表'!B2:B200,"我的页面")</f>
        <v/>
      </c>
    </row>
    <row r="21">
      <c r="A21" s="3" t="inlineStr">
        <is>
          <t>按模块</t>
        </is>
      </c>
      <c r="B21" s="3" t="inlineStr">
        <is>
          <t>意见反馈</t>
        </is>
      </c>
      <c r="C21" s="3">
        <f>COUNTIF('埋点需求总表'!B2:B200,"意见反馈")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2026-03-13T09:31:35Z</dcterms:created>
  <dcterms:modified xmlns:dcterms="http://purl.org/dc/terms/" xmlns:xsi="http://www.w3.org/2001/XMLSchema-instance" xsi:type="dcterms:W3CDTF">2026-03-13T09:31:35Z</dcterms:modified>
</cp:coreProperties>
</file>